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5E2DB7A1-8B45-414F-BABE-3C8BD05EB56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oin Weights" sheetId="1" r:id="rId1"/>
    <sheet name="Measurements" sheetId="2" r:id="rId2"/>
  </sheets>
  <calcPr calcId="191029"/>
  <fileRecoveryPr repairLoad="1"/>
</workbook>
</file>

<file path=xl/calcChain.xml><?xml version="1.0" encoding="utf-8"?>
<calcChain xmlns="http://schemas.openxmlformats.org/spreadsheetml/2006/main">
  <c r="C19" i="1" l="1"/>
  <c r="C18" i="1"/>
  <c r="C17" i="1"/>
  <c r="C16" i="1"/>
  <c r="C15" i="1"/>
  <c r="B19" i="1"/>
  <c r="B18" i="1"/>
  <c r="B17" i="1"/>
  <c r="B16" i="1"/>
  <c r="B15" i="1"/>
  <c r="M32" i="2"/>
  <c r="N32" i="2" s="1"/>
  <c r="M31" i="2"/>
  <c r="N31" i="2" s="1"/>
  <c r="M30" i="2"/>
  <c r="N30" i="2" s="1"/>
  <c r="M29" i="2"/>
  <c r="N29" i="2" s="1"/>
  <c r="M28" i="2"/>
  <c r="N28" i="2" s="1"/>
  <c r="M27" i="2"/>
  <c r="N27" i="2" s="1"/>
  <c r="M26" i="2"/>
  <c r="N26" i="2" s="1"/>
  <c r="M25" i="2"/>
  <c r="N25" i="2" s="1"/>
  <c r="M24" i="2"/>
  <c r="N24" i="2" s="1"/>
  <c r="M23" i="2"/>
  <c r="N23" i="2" s="1"/>
  <c r="M22" i="2"/>
  <c r="N22" i="2" s="1"/>
  <c r="M21" i="2"/>
  <c r="N21" i="2" s="1"/>
  <c r="M20" i="2"/>
  <c r="N20" i="2" s="1"/>
  <c r="M19" i="2"/>
  <c r="N19" i="2" s="1"/>
  <c r="M18" i="2"/>
  <c r="N18" i="2" s="1"/>
  <c r="M17" i="2"/>
  <c r="N17" i="2" s="1"/>
  <c r="M16" i="2"/>
  <c r="N16" i="2" s="1"/>
  <c r="M15" i="2"/>
  <c r="N15" i="2" s="1"/>
  <c r="M14" i="2"/>
  <c r="N14" i="2" s="1"/>
  <c r="M13" i="2"/>
  <c r="N13" i="2" s="1"/>
  <c r="M12" i="2"/>
  <c r="N12" i="2" s="1"/>
  <c r="M11" i="2"/>
  <c r="N11" i="2" s="1"/>
  <c r="M10" i="2"/>
  <c r="N10" i="2" s="1"/>
  <c r="M9" i="2"/>
  <c r="N9" i="2" s="1"/>
  <c r="M8" i="2"/>
  <c r="N8" i="2" s="1"/>
  <c r="M7" i="2"/>
  <c r="N7" i="2" s="1"/>
  <c r="M6" i="2"/>
  <c r="N6" i="2" s="1"/>
  <c r="M5" i="2"/>
  <c r="N5" i="2" s="1"/>
  <c r="M4" i="2"/>
  <c r="N4" i="2" s="1"/>
  <c r="M3" i="2"/>
  <c r="N3" i="2" s="1"/>
</calcChain>
</file>

<file path=xl/sharedStrings.xml><?xml version="1.0" encoding="utf-8"?>
<sst xmlns="http://schemas.openxmlformats.org/spreadsheetml/2006/main" count="178" uniqueCount="95">
  <si>
    <t>Coin Weight Setup for TRI Thalawakale Bending Test</t>
  </si>
  <si>
    <t>Code</t>
  </si>
  <si>
    <t>Item / Meaning</t>
  </si>
  <si>
    <t>Weight per item (g)</t>
  </si>
  <si>
    <t>Unit</t>
  </si>
  <si>
    <t>Constant</t>
  </si>
  <si>
    <t>Value</t>
  </si>
  <si>
    <t>10g</t>
  </si>
  <si>
    <t>Standard mass</t>
  </si>
  <si>
    <t>g</t>
  </si>
  <si>
    <t>g (m/s²)</t>
  </si>
  <si>
    <t>oo1</t>
  </si>
  <si>
    <t>copper Rs.1 Coin / mass code oo1</t>
  </si>
  <si>
    <t>Pan / holder mass (g)</t>
  </si>
  <si>
    <t>o1</t>
  </si>
  <si>
    <t>silver old Rs.1 Coin / mass code o1</t>
  </si>
  <si>
    <t>Set pan mass to 0 if pan was not used</t>
  </si>
  <si>
    <t>o2</t>
  </si>
  <si>
    <t>silver old Rs.2 Coin / mass code o2</t>
  </si>
  <si>
    <t>n1</t>
  </si>
  <si>
    <t>new Rs.1 Coin / mass code n1</t>
  </si>
  <si>
    <t>n2</t>
  </si>
  <si>
    <t>new Rs.2 Coin / mass code n2</t>
  </si>
  <si>
    <t>n5</t>
  </si>
  <si>
    <t>new Rs.5 Coin / mass code n5</t>
  </si>
  <si>
    <t>Pan</t>
  </si>
  <si>
    <t>Pan / hanging holder</t>
  </si>
  <si>
    <t>TRI Thalawakale Bending Force Measurements - Pluckable Force Verification</t>
  </si>
  <si>
    <t>No</t>
  </si>
  <si>
    <t>Plucking round / bush</t>
  </si>
  <si>
    <t>Shoot stage</t>
  </si>
  <si>
    <t>Sample</t>
  </si>
  <si>
    <t>10g count</t>
  </si>
  <si>
    <t>oo1 count</t>
  </si>
  <si>
    <t>o1 count</t>
  </si>
  <si>
    <t>o2 count</t>
  </si>
  <si>
    <t>n1 count</t>
  </si>
  <si>
    <t>n2 count</t>
  </si>
  <si>
    <t>n5 count</t>
  </si>
  <si>
    <t>Original measurement</t>
  </si>
  <si>
    <t>Total mass incl. pan (g)</t>
  </si>
  <si>
    <t>Bending force (N)</t>
  </si>
  <si>
    <t>9 days plucking bushes</t>
  </si>
  <si>
    <t>Pluckable</t>
  </si>
  <si>
    <t>Pluckable 1</t>
  </si>
  <si>
    <t>10g + oo1 + o1 + n1 + n2</t>
  </si>
  <si>
    <t>Pluckable 2</t>
  </si>
  <si>
    <t>o2 × 4</t>
  </si>
  <si>
    <t>Pluckable 3</t>
  </si>
  <si>
    <t>10g + n1 + n2 + n5</t>
  </si>
  <si>
    <t>7 days plucking (first year)</t>
  </si>
  <si>
    <t>n1 + n2</t>
  </si>
  <si>
    <t>o1 + n1</t>
  </si>
  <si>
    <t>Matured</t>
  </si>
  <si>
    <t>o1 + n2 + 10g</t>
  </si>
  <si>
    <t>Arimbu</t>
  </si>
  <si>
    <t>Arimbu 1</t>
  </si>
  <si>
    <t>Arimbu 2</t>
  </si>
  <si>
    <t>Banji</t>
  </si>
  <si>
    <t>n1 × 2 + oo1</t>
  </si>
  <si>
    <t>Not plucking / more matured</t>
  </si>
  <si>
    <t>More matured 1</t>
  </si>
  <si>
    <t>o2 × 3</t>
  </si>
  <si>
    <t>More matured 2</t>
  </si>
  <si>
    <t>10g + o1 × 2 + o2 × 5 + n2 × 2</t>
  </si>
  <si>
    <t>Pluckable 4</t>
  </si>
  <si>
    <t>10g + o1 + n1 × 2 + n2</t>
  </si>
  <si>
    <t>Pluckable 5</t>
  </si>
  <si>
    <t>oo1 + o2 × 2 + n1 + n2</t>
  </si>
  <si>
    <t>Matured 2</t>
  </si>
  <si>
    <t>10g + o1 + o2 + n2 × 2</t>
  </si>
  <si>
    <t>Matured 3</t>
  </si>
  <si>
    <t>10g + oo1 + o1 × 2 + o2 + n2</t>
  </si>
  <si>
    <t>Arimbu 3</t>
  </si>
  <si>
    <t>Arimbu 4</t>
  </si>
  <si>
    <t>oo1 + n1</t>
  </si>
  <si>
    <t>Banji 2</t>
  </si>
  <si>
    <t>oo1 + o1 + n1 × 2</t>
  </si>
  <si>
    <t>More matured 3</t>
  </si>
  <si>
    <t>10g + o1 + o2 × 3 + n2 × 2</t>
  </si>
  <si>
    <t>oo1 + o1 + n1 + n2</t>
  </si>
  <si>
    <t>10g + n1 + n2</t>
  </si>
  <si>
    <t>10g + o1 + n1 + n2 × 2</t>
  </si>
  <si>
    <t>o1 + n1 × 2</t>
  </si>
  <si>
    <t>10g + o1 × 2 + o2 × 4 + n2 × 2 + n5</t>
  </si>
  <si>
    <t>oo1 + n1 + n2</t>
  </si>
  <si>
    <t>Pluckable 6</t>
  </si>
  <si>
    <t>o1 + n1 + n2</t>
  </si>
  <si>
    <t>10g + oo1 + n1</t>
  </si>
  <si>
    <t>Pluckable 7</t>
  </si>
  <si>
    <t>Pluckable 8</t>
  </si>
  <si>
    <t>10g + oo1 + o1 + n1</t>
  </si>
  <si>
    <t>Force Summary by Shoot Stage</t>
  </si>
  <si>
    <t>Minimum force (N)</t>
  </si>
  <si>
    <t>Maximum force (N)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</si>
</sst>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6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b/>
      <sz val="11"/>
      <color rgb="FF166534"/>
      <name val="Carlito"/>
    </font>
    <font>
      <b/>
      <sz val="12"/>
      <color rgb="FFFFFFFF"/>
      <name val="Carlito"/>
    </font>
    <font>
      <b/>
      <sz val="11"/>
      <color rgb="FF000000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DCFCE7"/>
      </patternFill>
    </fill>
    <fill>
      <patternFill patternType="solid">
        <fgColor rgb="FF0F766E"/>
      </patternFill>
    </fill>
    <fill>
      <patternFill patternType="solid">
        <fgColor rgb="FF14532D"/>
      </patternFill>
    </fill>
    <fill>
      <patternFill patternType="solid">
        <fgColor theme="0"/>
      </patternFill>
    </fill>
    <fill>
      <patternFill patternType="solid">
        <fgColor theme="9" tint="-0.49995422223578601"/>
        <bgColor indexed="65"/>
      </patternFill>
    </fill>
    <fill>
      <patternFill patternType="solid">
        <fgColor theme="4" tint="-0.249977111117893"/>
        <bgColor indexed="65"/>
      </patternFill>
    </fill>
    <fill>
      <patternFill patternType="solid">
        <fgColor theme="3" tint="9.9978637043366805E-2"/>
        <bgColor indexed="65"/>
      </patternFill>
    </fill>
    <fill>
      <patternFill patternType="solid">
        <fgColor rgb="FF2F5597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wrapText="1"/>
    </xf>
    <xf numFmtId="0" fontId="0" fillId="5" borderId="0" xfId="0" applyFill="1"/>
    <xf numFmtId="1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2" fontId="0" fillId="0" borderId="1" xfId="0" applyNumberFormat="1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1" fontId="0" fillId="5" borderId="1" xfId="0" applyNumberFormat="1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2" fontId="0" fillId="5" borderId="1" xfId="0" applyNumberFormat="1" applyFill="1" applyBorder="1" applyAlignment="1">
      <alignment vertical="center" wrapText="1"/>
    </xf>
    <xf numFmtId="164" fontId="0" fillId="5" borderId="1" xfId="0" applyNumberFormat="1" applyFill="1" applyBorder="1" applyAlignment="1">
      <alignment vertical="center" wrapText="1"/>
    </xf>
    <xf numFmtId="1" fontId="3" fillId="2" borderId="1" xfId="0" applyNumberFormat="1" applyFont="1" applyFill="1" applyBorder="1" applyAlignment="1">
      <alignment vertical="center" wrapText="1"/>
    </xf>
    <xf numFmtId="0" fontId="0" fillId="5" borderId="0" xfId="0" applyFill="1" applyAlignment="1">
      <alignment horizontal="center"/>
    </xf>
    <xf numFmtId="0" fontId="2" fillId="6" borderId="1" xfId="0" applyFont="1" applyFill="1" applyBorder="1" applyAlignment="1">
      <alignment horizontal="center" vertical="center" wrapText="1"/>
    </xf>
    <xf numFmtId="0" fontId="0" fillId="6" borderId="0" xfId="0" applyFill="1"/>
    <xf numFmtId="0" fontId="0" fillId="0" borderId="1" xfId="0" applyBorder="1" applyAlignment="1">
      <alignment wrapText="1"/>
    </xf>
    <xf numFmtId="2" fontId="0" fillId="0" borderId="1" xfId="0" applyNumberFormat="1" applyBorder="1" applyAlignment="1">
      <alignment wrapText="1"/>
    </xf>
    <xf numFmtId="0" fontId="2" fillId="7" borderId="1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wrapText="1"/>
    </xf>
    <xf numFmtId="0" fontId="1" fillId="5" borderId="0" xfId="0" applyFont="1" applyFill="1" applyAlignment="1">
      <alignment horizontal="center"/>
    </xf>
    <xf numFmtId="0" fontId="2" fillId="8" borderId="1" xfId="0" applyFont="1" applyFill="1" applyBorder="1" applyAlignment="1">
      <alignment horizontal="center" vertical="center" wrapText="1"/>
    </xf>
    <xf numFmtId="0" fontId="5" fillId="10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  <xf numFmtId="0" fontId="1" fillId="3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</cellXfs>
  <cellStyles count="1">
    <cellStyle name="Normal" xfId="0" builtinId="0"/>
  </cellStyles>
  <dxfs count="6">
    <dxf>
      <font>
        <b/>
        <color rgb="FF166534"/>
      </font>
      <fill>
        <patternFill>
          <bgColor rgb="FFD9EAD3"/>
        </patternFill>
      </fill>
    </dxf>
    <dxf>
      <font>
        <b/>
        <color rgb="FF166534"/>
      </font>
      <fill>
        <patternFill>
          <bgColor rgb="FFBBF7D0"/>
        </patternFill>
      </fill>
    </dxf>
    <dxf>
      <fill>
        <patternFill>
          <bgColor rgb="FFDCFCE7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ECFDF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4000" baseline="0"/>
              <a:t>Bending Force Distribution by Shoot Stage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67284787317275E-2"/>
          <c:y val="7.242737958339926E-2"/>
          <c:w val="0.95249285645376791"/>
          <c:h val="0.83396072167802826"/>
        </c:manualLayout>
      </c:layout>
      <c:scatterChart>
        <c:scatterStyle val="lineMarker"/>
        <c:varyColors val="0"/>
        <c:ser>
          <c:idx val="0"/>
          <c:order val="0"/>
          <c:tx>
            <c:v>Pluckable</c:v>
          </c:tx>
          <c:spPr>
            <a:ln w="38100">
              <a:noFill/>
            </a:ln>
          </c:spPr>
          <c:xVal>
            <c:numLit>
              <c:formatCode>General</c:formatCode>
              <c:ptCount val="14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12</c:v>
              </c:pt>
              <c:pt idx="6">
                <c:v>13</c:v>
              </c:pt>
              <c:pt idx="7">
                <c:v>20</c:v>
              </c:pt>
              <c:pt idx="8">
                <c:v>21</c:v>
              </c:pt>
              <c:pt idx="9">
                <c:v>26</c:v>
              </c:pt>
              <c:pt idx="10">
                <c:v>27</c:v>
              </c:pt>
              <c:pt idx="11">
                <c:v>28</c:v>
              </c:pt>
              <c:pt idx="12">
                <c:v>29</c:v>
              </c:pt>
              <c:pt idx="13">
                <c:v>30</c:v>
              </c:pt>
            </c:numLit>
          </c:xVal>
          <c:yVal>
            <c:numLit>
              <c:formatCode>General</c:formatCode>
              <c:ptCount val="14"/>
              <c:pt idx="0">
                <c:v>0.32206230000000002</c:v>
              </c:pt>
              <c:pt idx="1">
                <c:v>0.30999600000000005</c:v>
              </c:pt>
              <c:pt idx="2">
                <c:v>0.26742060000000001</c:v>
              </c:pt>
              <c:pt idx="3">
                <c:v>0.11781810000000001</c:v>
              </c:pt>
              <c:pt idx="4">
                <c:v>0.14361839999999998</c:v>
              </c:pt>
              <c:pt idx="5">
                <c:v>0.32265090000000002</c:v>
              </c:pt>
              <c:pt idx="6">
                <c:v>0.2900817</c:v>
              </c:pt>
              <c:pt idx="7">
                <c:v>0.2239623</c:v>
              </c:pt>
              <c:pt idx="8">
                <c:v>0.2159181</c:v>
              </c:pt>
              <c:pt idx="9">
                <c:v>0.15352650000000001</c:v>
              </c:pt>
              <c:pt idx="10">
                <c:v>0.1882539</c:v>
              </c:pt>
              <c:pt idx="11">
                <c:v>0.20699100000000001</c:v>
              </c:pt>
              <c:pt idx="12">
                <c:v>0.2159181</c:v>
              </c:pt>
              <c:pt idx="13">
                <c:v>0.27742680000000003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EF43-4B6C-A374-788AECC69CAE}"/>
            </c:ext>
          </c:extLst>
        </c:ser>
        <c:ser>
          <c:idx val="1"/>
          <c:order val="1"/>
          <c:tx>
            <c:v>Matured</c:v>
          </c:tx>
          <c:spPr>
            <a:ln w="38100">
              <a:noFill/>
            </a:ln>
          </c:spPr>
          <c:xVal>
            <c:numLit>
              <c:formatCode>General</c:formatCode>
              <c:ptCount val="4"/>
              <c:pt idx="0">
                <c:v>6</c:v>
              </c:pt>
              <c:pt idx="1">
                <c:v>14</c:v>
              </c:pt>
              <c:pt idx="2">
                <c:v>15</c:v>
              </c:pt>
              <c:pt idx="3">
                <c:v>22</c:v>
              </c:pt>
            </c:numLit>
          </c:xVal>
          <c:yVal>
            <c:numLit>
              <c:formatCode>General</c:formatCode>
              <c:ptCount val="4"/>
              <c:pt idx="0">
                <c:v>0.25005690000000003</c:v>
              </c:pt>
              <c:pt idx="1">
                <c:v>0.36297000000000001</c:v>
              </c:pt>
              <c:pt idx="2">
                <c:v>0.42447869999999999</c:v>
              </c:pt>
              <c:pt idx="3">
                <c:v>0.33098939999999993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EF43-4B6C-A374-788AECC69CAE}"/>
            </c:ext>
          </c:extLst>
        </c:ser>
        <c:ser>
          <c:idx val="2"/>
          <c:order val="2"/>
          <c:tx>
            <c:v>Arimbu</c:v>
          </c:tx>
          <c:spPr>
            <a:ln w="38100">
              <a:noFill/>
            </a:ln>
          </c:spPr>
          <c:xVal>
            <c:numLit>
              <c:formatCode>General</c:formatCode>
              <c:ptCount val="5"/>
              <c:pt idx="0">
                <c:v>7</c:v>
              </c:pt>
              <c:pt idx="1">
                <c:v>8</c:v>
              </c:pt>
              <c:pt idx="2">
                <c:v>16</c:v>
              </c:pt>
              <c:pt idx="3">
                <c:v>17</c:v>
              </c:pt>
              <c:pt idx="4">
                <c:v>23</c:v>
              </c:pt>
            </c:numLit>
          </c:xVal>
          <c:yVal>
            <c:numLit>
              <c:formatCode>General</c:formatCode>
              <c:ptCount val="5"/>
              <c:pt idx="0">
                <c:v>7.31826E-2</c:v>
              </c:pt>
              <c:pt idx="1">
                <c:v>7.31826E-2</c:v>
              </c:pt>
              <c:pt idx="2">
                <c:v>7.31826E-2</c:v>
              </c:pt>
              <c:pt idx="3">
                <c:v>0.10889100000000002</c:v>
              </c:pt>
              <c:pt idx="4">
                <c:v>7.31826E-2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EF43-4B6C-A374-788AECC69CAE}"/>
            </c:ext>
          </c:extLst>
        </c:ser>
        <c:ser>
          <c:idx val="3"/>
          <c:order val="3"/>
          <c:tx>
            <c:v>Banji</c:v>
          </c:tx>
          <c:spPr>
            <a:ln w="38100">
              <a:noFill/>
            </a:ln>
          </c:spPr>
          <c:xVal>
            <c:numLit>
              <c:formatCode>General</c:formatCode>
              <c:ptCount val="3"/>
              <c:pt idx="0">
                <c:v>9</c:v>
              </c:pt>
              <c:pt idx="1">
                <c:v>18</c:v>
              </c:pt>
              <c:pt idx="2">
                <c:v>24</c:v>
              </c:pt>
            </c:numLit>
          </c:xVal>
          <c:yVal>
            <c:numLit>
              <c:formatCode>General</c:formatCode>
              <c:ptCount val="3"/>
              <c:pt idx="0">
                <c:v>0.14518800000000001</c:v>
              </c:pt>
              <c:pt idx="1">
                <c:v>0.21562379999999998</c:v>
              </c:pt>
              <c:pt idx="2">
                <c:v>0.1799154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EF43-4B6C-A374-788AECC69CAE}"/>
            </c:ext>
          </c:extLst>
        </c:ser>
        <c:ser>
          <c:idx val="4"/>
          <c:order val="4"/>
          <c:tx>
            <c:v>Not plucking / more matured</c:v>
          </c:tx>
          <c:spPr>
            <a:ln w="38100">
              <a:noFill/>
            </a:ln>
          </c:spPr>
          <c:xVal>
            <c:numLit>
              <c:formatCode>General</c:formatCode>
              <c:ptCount val="4"/>
              <c:pt idx="0">
                <c:v>10</c:v>
              </c:pt>
              <c:pt idx="1">
                <c:v>11</c:v>
              </c:pt>
              <c:pt idx="2">
                <c:v>19</c:v>
              </c:pt>
              <c:pt idx="3">
                <c:v>25</c:v>
              </c:pt>
            </c:numLit>
          </c:xVal>
          <c:yVal>
            <c:numLit>
              <c:formatCode>General</c:formatCode>
              <c:ptCount val="4"/>
              <c:pt idx="0">
                <c:v>0.24171840000000003</c:v>
              </c:pt>
              <c:pt idx="1">
                <c:v>0.70651620000000004</c:v>
              </c:pt>
              <c:pt idx="2">
                <c:v>0.4995252</c:v>
              </c:pt>
              <c:pt idx="3">
                <c:v>0.68974110000000011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EF43-4B6C-A374-788AECC69CAE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2400" baseline="0"/>
                </a:pPr>
                <a:r>
                  <a:rPr lang="en-US" sz="2400" baseline="0"/>
                  <a:t>Bending force (N)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50112"/>
        <c:crosses val="autoZero"/>
        <c:crossBetween val="midCat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2400" baseline="0"/>
                </a:pPr>
                <a:r>
                  <a:rPr lang="en-US" sz="2400" baseline="0"/>
                  <a:t>Sample</a:t>
                </a:r>
              </a:p>
            </c:rich>
          </c:tx>
          <c:layout>
            <c:manualLayout>
              <c:xMode val="edge"/>
              <c:yMode val="edge"/>
              <c:x val="0.47788357220676392"/>
              <c:y val="0.9240969876821484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crossBetween val="midCat"/>
      </c:valAx>
    </c:plotArea>
    <c:legend>
      <c:legendPos val="b"/>
      <c:legendEntry>
        <c:idx val="0"/>
        <c:txPr>
          <a:bodyPr/>
          <a:lstStyle/>
          <a:p>
            <a:pPr>
              <a:defRPr sz="1800" baseline="0"/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1800" baseline="0"/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1800" baseline="0"/>
            </a:pPr>
            <a:endParaRPr lang="en-US"/>
          </a:p>
        </c:txPr>
      </c:legendEntry>
      <c:legendEntry>
        <c:idx val="3"/>
        <c:txPr>
          <a:bodyPr/>
          <a:lstStyle/>
          <a:p>
            <a:pPr>
              <a:defRPr sz="1800" baseline="0"/>
            </a:pPr>
            <a:endParaRPr lang="en-US"/>
          </a:p>
        </c:txPr>
      </c:legendEntry>
      <c:legendEntry>
        <c:idx val="4"/>
        <c:txPr>
          <a:bodyPr/>
          <a:lstStyle/>
          <a:p>
            <a:pPr>
              <a:defRPr sz="1800" baseline="0"/>
            </a:pPr>
            <a:endParaRPr lang="en-US"/>
          </a:p>
        </c:txPr>
      </c:legendEntry>
      <c:layout>
        <c:manualLayout>
          <c:xMode val="edge"/>
          <c:yMode val="edge"/>
          <c:x val="0.25453814707456668"/>
          <c:y val="0.95710356069947933"/>
          <c:w val="0.4593992620366637"/>
          <c:h val="3.7350189116039552E-2"/>
        </c:manualLayout>
      </c:layout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254000</xdr:colOff>
      <xdr:row>0</xdr:row>
      <xdr:rowOff>186265</xdr:rowOff>
    </xdr:from>
    <xdr:to>
      <xdr:col>43</xdr:col>
      <xdr:colOff>237067</xdr:colOff>
      <xdr:row>60</xdr:row>
      <xdr:rowOff>101599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0.04161</cdr:x>
      <cdr:y>0.57686</cdr:y>
    </cdr:from>
    <cdr:to>
      <cdr:x>0.98293</cdr:x>
      <cdr:y>0.80661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9DCCF162-9539-32FA-4E04-A9A1AC2DDFED}"/>
            </a:ext>
          </a:extLst>
        </cdr:cNvPr>
        <cdr:cNvSpPr/>
      </cdr:nvSpPr>
      <cdr:spPr>
        <a:xfrm xmlns:a="http://schemas.openxmlformats.org/drawingml/2006/main">
          <a:off x="808565" y="7472009"/>
          <a:ext cx="18293334" cy="29759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57150">
          <a:solidFill>
            <a:srgbClr val="C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/>
        </a:p>
      </cdr:txBody>
    </cdr:sp>
  </cdr:relSizeAnchor>
</c:userShap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inWeightsTable" displayName="CoinWeightsTable" ref="A2:D9">
  <tableColumns count="4">
    <tableColumn id="1" xr3:uid="{00000000-0010-0000-0000-000001000000}" name="Code"/>
    <tableColumn id="2" xr3:uid="{00000000-0010-0000-0000-000002000000}" name="Item / Meaning"/>
    <tableColumn id="3" xr3:uid="{00000000-0010-0000-0000-000003000000}" name="Weight per item (g)"/>
    <tableColumn id="4" xr3:uid="{00000000-0010-0000-0000-000004000000}" name="Uni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easurementsTable" displayName="MeasurementsTable" ref="A2:N13">
  <tableColumns count="14">
    <tableColumn id="1" xr3:uid="{00000000-0010-0000-0100-000001000000}" name="No"/>
    <tableColumn id="2" xr3:uid="{00000000-0010-0000-0100-000002000000}" name="Plucking round / bush"/>
    <tableColumn id="3" xr3:uid="{00000000-0010-0000-0100-000003000000}" name="Shoot stage"/>
    <tableColumn id="4" xr3:uid="{00000000-0010-0000-0100-000004000000}" name="Sample"/>
    <tableColumn id="5" xr3:uid="{00000000-0010-0000-0100-000005000000}" name="10g count"/>
    <tableColumn id="6" xr3:uid="{00000000-0010-0000-0100-000006000000}" name="oo1 count"/>
    <tableColumn id="7" xr3:uid="{00000000-0010-0000-0100-000007000000}" name="o1 count"/>
    <tableColumn id="8" xr3:uid="{00000000-0010-0000-0100-000008000000}" name="o2 count"/>
    <tableColumn id="9" xr3:uid="{00000000-0010-0000-0100-000009000000}" name="n1 count"/>
    <tableColumn id="10" xr3:uid="{00000000-0010-0000-0100-00000A000000}" name="n2 count"/>
    <tableColumn id="11" xr3:uid="{00000000-0010-0000-0100-00000B000000}" name="n5 count"/>
    <tableColumn id="12" xr3:uid="{00000000-0010-0000-0100-00000C000000}" name="Original measurement"/>
    <tableColumn id="13" xr3:uid="{00000000-0010-0000-0100-00000D000000}" name="Total mass incl. pan (g)"/>
    <tableColumn id="14" xr3:uid="{00000000-0010-0000-0100-00000E000000}" name="Bending force (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workbookViewId="0">
      <selection activeCell="F2" sqref="F2:G5"/>
    </sheetView>
  </sheetViews>
  <sheetFormatPr defaultRowHeight="13.8"/>
  <cols>
    <col min="1" max="1" width="27" customWidth="1"/>
    <col min="2" max="3" width="18" customWidth="1"/>
    <col min="4" max="4" width="6.19921875" customWidth="1"/>
    <col min="6" max="6" width="30" customWidth="1"/>
    <col min="7" max="7" width="7.5" customWidth="1"/>
  </cols>
  <sheetData>
    <row r="1" spans="1:7" ht="17.399999999999999">
      <c r="A1" s="24" t="s">
        <v>0</v>
      </c>
      <c r="B1" s="24"/>
      <c r="C1" s="24"/>
      <c r="D1" s="24"/>
      <c r="E1" s="19"/>
      <c r="F1" s="19"/>
      <c r="G1" s="19"/>
    </row>
    <row r="2" spans="1:7">
      <c r="A2" s="17" t="s">
        <v>1</v>
      </c>
      <c r="B2" s="17" t="s">
        <v>2</v>
      </c>
      <c r="C2" s="17" t="s">
        <v>3</v>
      </c>
      <c r="D2" s="17" t="s">
        <v>4</v>
      </c>
      <c r="E2" s="18"/>
      <c r="F2" s="17" t="s">
        <v>5</v>
      </c>
      <c r="G2" s="20" t="s">
        <v>6</v>
      </c>
    </row>
    <row r="3" spans="1:7" ht="21.15" customHeight="1">
      <c r="A3" s="15" t="s">
        <v>7</v>
      </c>
      <c r="B3" s="15" t="s">
        <v>8</v>
      </c>
      <c r="C3" s="16">
        <v>10</v>
      </c>
      <c r="D3" s="15" t="s">
        <v>9</v>
      </c>
      <c r="E3" s="1"/>
      <c r="F3" s="15" t="s">
        <v>10</v>
      </c>
      <c r="G3" s="16">
        <v>9.81</v>
      </c>
    </row>
    <row r="4" spans="1:7" ht="27.6">
      <c r="A4" s="15" t="s">
        <v>11</v>
      </c>
      <c r="B4" s="15" t="s">
        <v>12</v>
      </c>
      <c r="C4" s="16">
        <v>3.64</v>
      </c>
      <c r="D4" s="15" t="s">
        <v>9</v>
      </c>
      <c r="E4" s="1"/>
      <c r="F4" s="15" t="s">
        <v>13</v>
      </c>
      <c r="G4" s="16">
        <v>3.76</v>
      </c>
    </row>
    <row r="5" spans="1:7" ht="27.6">
      <c r="A5" s="15" t="s">
        <v>14</v>
      </c>
      <c r="B5" s="15" t="s">
        <v>15</v>
      </c>
      <c r="C5" s="16">
        <v>7.18</v>
      </c>
      <c r="D5" s="15" t="s">
        <v>9</v>
      </c>
      <c r="E5" s="1"/>
      <c r="F5" s="15" t="s">
        <v>16</v>
      </c>
      <c r="G5" s="15"/>
    </row>
    <row r="6" spans="1:7" ht="27.6">
      <c r="A6" s="15" t="s">
        <v>17</v>
      </c>
      <c r="B6" s="15" t="s">
        <v>18</v>
      </c>
      <c r="C6" s="16">
        <v>6.96</v>
      </c>
      <c r="D6" s="15" t="s">
        <v>9</v>
      </c>
      <c r="E6" s="1"/>
      <c r="F6" s="1"/>
      <c r="G6" s="1"/>
    </row>
    <row r="7" spans="1:7" ht="27.6">
      <c r="A7" s="15" t="s">
        <v>19</v>
      </c>
      <c r="B7" s="15" t="s">
        <v>20</v>
      </c>
      <c r="C7" s="16">
        <v>3.7</v>
      </c>
      <c r="D7" s="15" t="s">
        <v>9</v>
      </c>
      <c r="E7" s="1"/>
      <c r="F7" s="1"/>
      <c r="G7" s="1"/>
    </row>
    <row r="8" spans="1:7" ht="27.6">
      <c r="A8" s="15" t="s">
        <v>21</v>
      </c>
      <c r="B8" s="15" t="s">
        <v>22</v>
      </c>
      <c r="C8" s="16">
        <v>4.55</v>
      </c>
      <c r="D8" s="15" t="s">
        <v>9</v>
      </c>
      <c r="E8" s="1"/>
      <c r="F8" s="1"/>
      <c r="G8" s="1"/>
    </row>
    <row r="9" spans="1:7" ht="27.6">
      <c r="A9" s="15" t="s">
        <v>23</v>
      </c>
      <c r="B9" s="15" t="s">
        <v>24</v>
      </c>
      <c r="C9" s="16">
        <v>5.25</v>
      </c>
      <c r="D9" s="15" t="s">
        <v>9</v>
      </c>
      <c r="E9" s="1"/>
      <c r="F9" s="1"/>
      <c r="G9" s="1"/>
    </row>
    <row r="10" spans="1:7">
      <c r="A10" s="15" t="s">
        <v>25</v>
      </c>
      <c r="B10" s="15" t="s">
        <v>26</v>
      </c>
      <c r="C10" s="16">
        <v>3.76</v>
      </c>
      <c r="D10" s="15" t="s">
        <v>9</v>
      </c>
      <c r="E10" s="1"/>
      <c r="F10" s="1"/>
      <c r="G10" s="1"/>
    </row>
    <row r="13" spans="1:7" ht="15.6">
      <c r="A13" s="25" t="s">
        <v>92</v>
      </c>
      <c r="B13" s="25"/>
      <c r="C13" s="25"/>
    </row>
    <row r="14" spans="1:7">
      <c r="A14" s="21" t="s">
        <v>30</v>
      </c>
      <c r="B14" s="21" t="s">
        <v>93</v>
      </c>
      <c r="C14" s="21" t="s">
        <v>94</v>
      </c>
    </row>
    <row r="15" spans="1:7">
      <c r="A15" s="22" t="s">
        <v>43</v>
      </c>
      <c r="B15" s="23">
        <f>_xlfn.MINIFS(Measurements!$N$3:$N$32,Measurements!$C$3:$C$32,A15)</f>
        <v>0.11781810000000001</v>
      </c>
      <c r="C15" s="23">
        <f>_xlfn.MAXIFS(Measurements!$N$3:$N$32,Measurements!$C$3:$C$32,A15)</f>
        <v>0.32265090000000002</v>
      </c>
    </row>
    <row r="16" spans="1:7">
      <c r="A16" s="22" t="s">
        <v>53</v>
      </c>
      <c r="B16" s="23">
        <f>_xlfn.MINIFS(Measurements!$N$3:$N$32,Measurements!$C$3:$C$32,A16)</f>
        <v>0.25005690000000003</v>
      </c>
      <c r="C16" s="23">
        <f>_xlfn.MAXIFS(Measurements!$N$3:$N$32,Measurements!$C$3:$C$32,A16)</f>
        <v>0.42447869999999999</v>
      </c>
    </row>
    <row r="17" spans="1:3">
      <c r="A17" s="22" t="s">
        <v>55</v>
      </c>
      <c r="B17" s="23">
        <f>_xlfn.MINIFS(Measurements!$N$3:$N$32,Measurements!$C$3:$C$32,A17)</f>
        <v>7.31826E-2</v>
      </c>
      <c r="C17" s="23">
        <f>_xlfn.MAXIFS(Measurements!$N$3:$N$32,Measurements!$C$3:$C$32,A17)</f>
        <v>0.10889100000000002</v>
      </c>
    </row>
    <row r="18" spans="1:3">
      <c r="A18" s="22" t="s">
        <v>58</v>
      </c>
      <c r="B18" s="23">
        <f>_xlfn.MINIFS(Measurements!$N$3:$N$32,Measurements!$C$3:$C$32,A18)</f>
        <v>0.14518800000000001</v>
      </c>
      <c r="C18" s="23">
        <f>_xlfn.MAXIFS(Measurements!$N$3:$N$32,Measurements!$C$3:$C$32,A18)</f>
        <v>0.21562379999999998</v>
      </c>
    </row>
    <row r="19" spans="1:3">
      <c r="A19" s="22" t="s">
        <v>60</v>
      </c>
      <c r="B19" s="23">
        <f>_xlfn.MINIFS(Measurements!$N$3:$N$32,Measurements!$C$3:$C$32,A19)</f>
        <v>0.24171840000000003</v>
      </c>
      <c r="C19" s="23">
        <f>_xlfn.MAXIFS(Measurements!$N$3:$N$32,Measurements!$C$3:$C$32,A19)</f>
        <v>0.70651620000000004</v>
      </c>
    </row>
  </sheetData>
  <mergeCells count="2">
    <mergeCell ref="A1:D1"/>
    <mergeCell ref="A13:C13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2"/>
  <sheetViews>
    <sheetView tabSelected="1" topLeftCell="D1" zoomScale="45" zoomScaleNormal="10" workbookViewId="0">
      <selection activeCell="M62" sqref="M62"/>
    </sheetView>
  </sheetViews>
  <sheetFormatPr defaultRowHeight="13.8"/>
  <cols>
    <col min="1" max="1" width="6" customWidth="1"/>
    <col min="2" max="2" width="24" customWidth="1"/>
    <col min="3" max="3" width="20" customWidth="1"/>
    <col min="4" max="4" width="16" customWidth="1"/>
    <col min="5" max="11" width="9" customWidth="1"/>
    <col min="12" max="12" width="34" customWidth="1"/>
    <col min="13" max="13" width="16" customWidth="1"/>
    <col min="14" max="14" width="14" customWidth="1"/>
    <col min="19" max="22" width="8.796875" customWidth="1"/>
  </cols>
  <sheetData>
    <row r="1" spans="1:18" ht="17.399999999999999">
      <c r="A1" s="26" t="s">
        <v>27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</row>
    <row r="2" spans="1:18" s="14" customFormat="1" ht="27.6">
      <c r="A2" s="13" t="s">
        <v>28</v>
      </c>
      <c r="B2" s="13" t="s">
        <v>29</v>
      </c>
      <c r="C2" s="13" t="s">
        <v>30</v>
      </c>
      <c r="D2" s="13" t="s">
        <v>31</v>
      </c>
      <c r="E2" s="13" t="s">
        <v>32</v>
      </c>
      <c r="F2" s="13" t="s">
        <v>33</v>
      </c>
      <c r="G2" s="13" t="s">
        <v>34</v>
      </c>
      <c r="H2" s="13" t="s">
        <v>35</v>
      </c>
      <c r="I2" s="13" t="s">
        <v>36</v>
      </c>
      <c r="J2" s="13" t="s">
        <v>37</v>
      </c>
      <c r="K2" s="13" t="s">
        <v>38</v>
      </c>
      <c r="L2" s="13" t="s">
        <v>39</v>
      </c>
      <c r="M2" s="13" t="s">
        <v>40</v>
      </c>
      <c r="N2" s="13" t="s">
        <v>41</v>
      </c>
    </row>
    <row r="3" spans="1:18" ht="13.8" customHeight="1">
      <c r="A3" s="3">
        <v>1</v>
      </c>
      <c r="B3" s="4" t="s">
        <v>42</v>
      </c>
      <c r="C3" s="4" t="s">
        <v>43</v>
      </c>
      <c r="D3" s="4" t="s">
        <v>44</v>
      </c>
      <c r="E3" s="3">
        <v>1</v>
      </c>
      <c r="F3" s="3">
        <v>1</v>
      </c>
      <c r="G3" s="3">
        <v>1</v>
      </c>
      <c r="H3" s="3">
        <v>0</v>
      </c>
      <c r="I3" s="3">
        <v>1</v>
      </c>
      <c r="J3" s="3">
        <v>1</v>
      </c>
      <c r="K3" s="3">
        <v>0</v>
      </c>
      <c r="L3" s="4" t="s">
        <v>45</v>
      </c>
      <c r="M3" s="5">
        <f>E3*'Coin Weights'!$C$3+F3*'Coin Weights'!$C$4+G3*'Coin Weights'!$C$5+H3*'Coin Weights'!$C$6+I3*'Coin Weights'!$C$7+J3*'Coin Weights'!$C$8+K3*'Coin Weights'!$C$9+'Coin Weights'!$G$4</f>
        <v>32.83</v>
      </c>
      <c r="N3" s="6">
        <f>M3/1000*'Coin Weights'!$G$3</f>
        <v>0.32206230000000002</v>
      </c>
    </row>
    <row r="4" spans="1:18" ht="13.8" customHeight="1">
      <c r="A4" s="3">
        <v>2</v>
      </c>
      <c r="B4" s="4" t="s">
        <v>42</v>
      </c>
      <c r="C4" s="4" t="s">
        <v>43</v>
      </c>
      <c r="D4" s="4" t="s">
        <v>46</v>
      </c>
      <c r="E4" s="3">
        <v>0</v>
      </c>
      <c r="F4" s="3">
        <v>0</v>
      </c>
      <c r="G4" s="3">
        <v>0</v>
      </c>
      <c r="H4" s="3">
        <v>4</v>
      </c>
      <c r="I4" s="3">
        <v>0</v>
      </c>
      <c r="J4" s="3">
        <v>0</v>
      </c>
      <c r="K4" s="3">
        <v>0</v>
      </c>
      <c r="L4" s="4" t="s">
        <v>47</v>
      </c>
      <c r="M4" s="5">
        <f>E4*'Coin Weights'!$C$3+F4*'Coin Weights'!$C$4+G4*'Coin Weights'!$C$5+H4*'Coin Weights'!$C$6+I4*'Coin Weights'!$C$7+J4*'Coin Weights'!$C$8+K4*'Coin Weights'!$C$9+'Coin Weights'!$G$4</f>
        <v>31.6</v>
      </c>
      <c r="N4" s="6">
        <f>M4/1000*'Coin Weights'!$G$3</f>
        <v>0.30999600000000005</v>
      </c>
    </row>
    <row r="5" spans="1:18" ht="13.8" customHeight="1">
      <c r="A5" s="3">
        <v>3</v>
      </c>
      <c r="B5" s="4" t="s">
        <v>42</v>
      </c>
      <c r="C5" s="4" t="s">
        <v>43</v>
      </c>
      <c r="D5" s="4" t="s">
        <v>48</v>
      </c>
      <c r="E5" s="3">
        <v>1</v>
      </c>
      <c r="F5" s="3">
        <v>0</v>
      </c>
      <c r="G5" s="3">
        <v>0</v>
      </c>
      <c r="H5" s="3">
        <v>0</v>
      </c>
      <c r="I5" s="3">
        <v>1</v>
      </c>
      <c r="J5" s="3">
        <v>1</v>
      </c>
      <c r="K5" s="3">
        <v>1</v>
      </c>
      <c r="L5" s="4" t="s">
        <v>49</v>
      </c>
      <c r="M5" s="5">
        <f>E5*'Coin Weights'!$C$3+F5*'Coin Weights'!$C$4+G5*'Coin Weights'!$C$5+H5*'Coin Weights'!$C$6+I5*'Coin Weights'!$C$7+J5*'Coin Weights'!$C$8+K5*'Coin Weights'!$C$9+'Coin Weights'!$G$4</f>
        <v>27.259999999999998</v>
      </c>
      <c r="N5" s="6">
        <f>M5/1000*'Coin Weights'!$G$3</f>
        <v>0.26742060000000001</v>
      </c>
    </row>
    <row r="6" spans="1:18" ht="13.8" customHeight="1">
      <c r="A6" s="3">
        <v>4</v>
      </c>
      <c r="B6" s="4" t="s">
        <v>50</v>
      </c>
      <c r="C6" s="4" t="s">
        <v>43</v>
      </c>
      <c r="D6" s="4" t="s">
        <v>44</v>
      </c>
      <c r="E6" s="3">
        <v>0</v>
      </c>
      <c r="F6" s="3">
        <v>0</v>
      </c>
      <c r="G6" s="3">
        <v>0</v>
      </c>
      <c r="H6" s="3">
        <v>0</v>
      </c>
      <c r="I6" s="3">
        <v>1</v>
      </c>
      <c r="J6" s="3">
        <v>1</v>
      </c>
      <c r="K6" s="3">
        <v>0</v>
      </c>
      <c r="L6" s="4" t="s">
        <v>51</v>
      </c>
      <c r="M6" s="5">
        <f>E6*'Coin Weights'!$C$3+F6*'Coin Weights'!$C$4+G6*'Coin Weights'!$C$5+H6*'Coin Weights'!$C$6+I6*'Coin Weights'!$C$7+J6*'Coin Weights'!$C$8+K6*'Coin Weights'!$C$9+'Coin Weights'!$G$4</f>
        <v>12.01</v>
      </c>
      <c r="N6" s="6">
        <f>M6/1000*'Coin Weights'!$G$3</f>
        <v>0.11781810000000001</v>
      </c>
    </row>
    <row r="7" spans="1:18">
      <c r="A7" s="3">
        <v>5</v>
      </c>
      <c r="B7" s="4" t="s">
        <v>50</v>
      </c>
      <c r="C7" s="4" t="s">
        <v>43</v>
      </c>
      <c r="D7" s="4" t="s">
        <v>46</v>
      </c>
      <c r="E7" s="3">
        <v>0</v>
      </c>
      <c r="F7" s="3">
        <v>0</v>
      </c>
      <c r="G7" s="3">
        <v>1</v>
      </c>
      <c r="H7" s="3">
        <v>0</v>
      </c>
      <c r="I7" s="3">
        <v>1</v>
      </c>
      <c r="J7" s="3">
        <v>0</v>
      </c>
      <c r="K7" s="3">
        <v>0</v>
      </c>
      <c r="L7" s="4" t="s">
        <v>52</v>
      </c>
      <c r="M7" s="5">
        <f>E7*'Coin Weights'!$C$3+F7*'Coin Weights'!$C$4+G7*'Coin Weights'!$C$5+H7*'Coin Weights'!$C$6+I7*'Coin Weights'!$C$7+J7*'Coin Weights'!$C$8+K7*'Coin Weights'!$C$9+'Coin Weights'!$G$4</f>
        <v>14.639999999999999</v>
      </c>
      <c r="N7" s="6">
        <f>M7/1000*'Coin Weights'!$G$3</f>
        <v>0.14361839999999998</v>
      </c>
    </row>
    <row r="8" spans="1:18">
      <c r="A8" s="3">
        <v>6</v>
      </c>
      <c r="B8" s="4" t="s">
        <v>50</v>
      </c>
      <c r="C8" s="4" t="s">
        <v>53</v>
      </c>
      <c r="D8" s="4" t="s">
        <v>53</v>
      </c>
      <c r="E8" s="3">
        <v>1</v>
      </c>
      <c r="F8" s="3">
        <v>0</v>
      </c>
      <c r="G8" s="3">
        <v>1</v>
      </c>
      <c r="H8" s="3">
        <v>0</v>
      </c>
      <c r="I8" s="3">
        <v>0</v>
      </c>
      <c r="J8" s="3">
        <v>1</v>
      </c>
      <c r="K8" s="3">
        <v>0</v>
      </c>
      <c r="L8" s="4" t="s">
        <v>54</v>
      </c>
      <c r="M8" s="5">
        <f>E8*'Coin Weights'!$C$3+F8*'Coin Weights'!$C$4+G8*'Coin Weights'!$C$5+H8*'Coin Weights'!$C$6+I8*'Coin Weights'!$C$7+J8*'Coin Weights'!$C$8+K8*'Coin Weights'!$C$9+'Coin Weights'!$G$4</f>
        <v>25.490000000000002</v>
      </c>
      <c r="N8" s="6">
        <f>M8/1000*'Coin Weights'!$G$3</f>
        <v>0.25005690000000003</v>
      </c>
    </row>
    <row r="9" spans="1:18">
      <c r="A9" s="7">
        <v>7</v>
      </c>
      <c r="B9" s="8" t="s">
        <v>50</v>
      </c>
      <c r="C9" s="8" t="s">
        <v>55</v>
      </c>
      <c r="D9" s="8" t="s">
        <v>56</v>
      </c>
      <c r="E9" s="7">
        <v>0</v>
      </c>
      <c r="F9" s="7">
        <v>0</v>
      </c>
      <c r="G9" s="7">
        <v>0</v>
      </c>
      <c r="H9" s="7">
        <v>0</v>
      </c>
      <c r="I9" s="7">
        <v>1</v>
      </c>
      <c r="J9" s="7">
        <v>0</v>
      </c>
      <c r="K9" s="7">
        <v>0</v>
      </c>
      <c r="L9" s="8" t="s">
        <v>19</v>
      </c>
      <c r="M9" s="9">
        <f>E9*'Coin Weights'!$C$3+F9*'Coin Weights'!$C$4+G9*'Coin Weights'!$C$5+H9*'Coin Weights'!$C$6+I9*'Coin Weights'!$C$7+J9*'Coin Weights'!$C$8+K9*'Coin Weights'!$C$9+'Coin Weights'!$G$4</f>
        <v>7.46</v>
      </c>
      <c r="N9" s="10">
        <f>M9/1000*'Coin Weights'!$G$3</f>
        <v>7.31826E-2</v>
      </c>
    </row>
    <row r="10" spans="1:18">
      <c r="A10" s="3">
        <v>8</v>
      </c>
      <c r="B10" s="4" t="s">
        <v>50</v>
      </c>
      <c r="C10" s="4" t="s">
        <v>55</v>
      </c>
      <c r="D10" s="4" t="s">
        <v>57</v>
      </c>
      <c r="E10" s="3">
        <v>0</v>
      </c>
      <c r="F10" s="3">
        <v>0</v>
      </c>
      <c r="G10" s="3">
        <v>0</v>
      </c>
      <c r="H10" s="3">
        <v>0</v>
      </c>
      <c r="I10" s="3">
        <v>1</v>
      </c>
      <c r="J10" s="3">
        <v>0</v>
      </c>
      <c r="K10" s="3">
        <v>0</v>
      </c>
      <c r="L10" s="4" t="s">
        <v>19</v>
      </c>
      <c r="M10" s="5">
        <f>E10*'Coin Weights'!$C$3+F10*'Coin Weights'!$C$4+G10*'Coin Weights'!$C$5+H10*'Coin Weights'!$C$6+I10*'Coin Weights'!$C$7+J10*'Coin Weights'!$C$8+K10*'Coin Weights'!$C$9+'Coin Weights'!$G$4</f>
        <v>7.46</v>
      </c>
      <c r="N10" s="6">
        <f>M10/1000*'Coin Weights'!$G$3</f>
        <v>7.31826E-2</v>
      </c>
    </row>
    <row r="11" spans="1:18" s="2" customFormat="1">
      <c r="A11" s="7">
        <v>9</v>
      </c>
      <c r="B11" s="8" t="s">
        <v>50</v>
      </c>
      <c r="C11" s="8" t="s">
        <v>58</v>
      </c>
      <c r="D11" s="8" t="s">
        <v>58</v>
      </c>
      <c r="E11" s="7">
        <v>0</v>
      </c>
      <c r="F11" s="7">
        <v>1</v>
      </c>
      <c r="G11" s="7">
        <v>0</v>
      </c>
      <c r="H11" s="7">
        <v>0</v>
      </c>
      <c r="I11" s="7">
        <v>2</v>
      </c>
      <c r="J11" s="7">
        <v>0</v>
      </c>
      <c r="K11" s="7">
        <v>0</v>
      </c>
      <c r="L11" s="8" t="s">
        <v>59</v>
      </c>
      <c r="M11" s="9">
        <f>E11*'Coin Weights'!$C$3+F11*'Coin Weights'!$C$4+G11*'Coin Weights'!$C$5+H11*'Coin Weights'!$C$6+I11*'Coin Weights'!$C$7+J11*'Coin Weights'!$C$8+K11*'Coin Weights'!$C$9+'Coin Weights'!$G$4</f>
        <v>14.8</v>
      </c>
      <c r="N11" s="10">
        <f>M11/1000*'Coin Weights'!$G$3</f>
        <v>0.14518800000000001</v>
      </c>
    </row>
    <row r="12" spans="1:18" ht="27.6">
      <c r="A12" s="3">
        <v>10</v>
      </c>
      <c r="B12" s="4" t="s">
        <v>50</v>
      </c>
      <c r="C12" s="4" t="s">
        <v>60</v>
      </c>
      <c r="D12" s="4" t="s">
        <v>61</v>
      </c>
      <c r="E12" s="3">
        <v>0</v>
      </c>
      <c r="F12" s="3">
        <v>0</v>
      </c>
      <c r="G12" s="3">
        <v>0</v>
      </c>
      <c r="H12" s="3">
        <v>3</v>
      </c>
      <c r="I12" s="3">
        <v>0</v>
      </c>
      <c r="J12" s="3">
        <v>0</v>
      </c>
      <c r="K12" s="3">
        <v>0</v>
      </c>
      <c r="L12" s="4" t="s">
        <v>62</v>
      </c>
      <c r="M12" s="5">
        <f>E12*'Coin Weights'!$C$3+F12*'Coin Weights'!$C$4+G12*'Coin Weights'!$C$5+H12*'Coin Weights'!$C$6+I12*'Coin Weights'!$C$7+J12*'Coin Weights'!$C$8+K12*'Coin Weights'!$C$9+'Coin Weights'!$G$4</f>
        <v>24.64</v>
      </c>
      <c r="N12" s="6">
        <f>M12/1000*'Coin Weights'!$G$3</f>
        <v>0.24171840000000003</v>
      </c>
    </row>
    <row r="13" spans="1:18" s="2" customFormat="1" ht="27.6">
      <c r="A13" s="7">
        <v>11</v>
      </c>
      <c r="B13" s="8" t="s">
        <v>50</v>
      </c>
      <c r="C13" s="8" t="s">
        <v>60</v>
      </c>
      <c r="D13" s="8" t="s">
        <v>63</v>
      </c>
      <c r="E13" s="7">
        <v>1</v>
      </c>
      <c r="F13" s="7">
        <v>0</v>
      </c>
      <c r="G13" s="7">
        <v>2</v>
      </c>
      <c r="H13" s="7">
        <v>5</v>
      </c>
      <c r="I13" s="7">
        <v>0</v>
      </c>
      <c r="J13" s="7">
        <v>2</v>
      </c>
      <c r="K13" s="7">
        <v>0</v>
      </c>
      <c r="L13" s="8" t="s">
        <v>64</v>
      </c>
      <c r="M13" s="9">
        <f>E13*'Coin Weights'!$C$3+F13*'Coin Weights'!$C$4+G13*'Coin Weights'!$C$5+H13*'Coin Weights'!$C$6+I13*'Coin Weights'!$C$7+J13*'Coin Weights'!$C$8+K13*'Coin Weights'!$C$9+'Coin Weights'!$G$4</f>
        <v>72.02</v>
      </c>
      <c r="N13" s="10">
        <f>M13/1000*'Coin Weights'!$G$3</f>
        <v>0.70651620000000004</v>
      </c>
      <c r="R13" s="12"/>
    </row>
    <row r="14" spans="1:18">
      <c r="A14" s="3">
        <v>12</v>
      </c>
      <c r="B14" s="4" t="s">
        <v>42</v>
      </c>
      <c r="C14" s="4" t="s">
        <v>43</v>
      </c>
      <c r="D14" s="4" t="s">
        <v>65</v>
      </c>
      <c r="E14" s="3">
        <v>1</v>
      </c>
      <c r="F14" s="3">
        <v>0</v>
      </c>
      <c r="G14" s="3">
        <v>1</v>
      </c>
      <c r="H14" s="3">
        <v>0</v>
      </c>
      <c r="I14" s="3">
        <v>2</v>
      </c>
      <c r="J14" s="3">
        <v>1</v>
      </c>
      <c r="K14" s="3">
        <v>0</v>
      </c>
      <c r="L14" s="4" t="s">
        <v>66</v>
      </c>
      <c r="M14" s="5">
        <f>E14*'Coin Weights'!$C$3+F14*'Coin Weights'!$C$4+G14*'Coin Weights'!$C$5+H14*'Coin Weights'!$C$6+I14*'Coin Weights'!$C$7+J14*'Coin Weights'!$C$8+K14*'Coin Weights'!$C$9+'Coin Weights'!$G$4</f>
        <v>32.89</v>
      </c>
      <c r="N14" s="6">
        <f>M14/1000*'Coin Weights'!$G$3</f>
        <v>0.32265090000000002</v>
      </c>
    </row>
    <row r="15" spans="1:18">
      <c r="A15" s="11">
        <v>13</v>
      </c>
      <c r="B15" s="4" t="s">
        <v>42</v>
      </c>
      <c r="C15" s="4" t="s">
        <v>43</v>
      </c>
      <c r="D15" s="4" t="s">
        <v>67</v>
      </c>
      <c r="E15" s="3">
        <v>0</v>
      </c>
      <c r="F15" s="3">
        <v>1</v>
      </c>
      <c r="G15" s="3">
        <v>0</v>
      </c>
      <c r="H15" s="3">
        <v>2</v>
      </c>
      <c r="I15" s="3">
        <v>1</v>
      </c>
      <c r="J15" s="3">
        <v>1</v>
      </c>
      <c r="K15" s="3">
        <v>0</v>
      </c>
      <c r="L15" s="4" t="s">
        <v>68</v>
      </c>
      <c r="M15" s="5">
        <f>E15*'Coin Weights'!$C$3+F15*'Coin Weights'!$C$4+G15*'Coin Weights'!$C$5+H15*'Coin Weights'!$C$6+I15*'Coin Weights'!$C$7+J15*'Coin Weights'!$C$8+K15*'Coin Weights'!$C$9+'Coin Weights'!$G$4</f>
        <v>29.57</v>
      </c>
      <c r="N15" s="6">
        <f>M15/1000*'Coin Weights'!$G$3</f>
        <v>0.2900817</v>
      </c>
    </row>
    <row r="16" spans="1:18">
      <c r="A16" s="3">
        <v>14</v>
      </c>
      <c r="B16" s="4" t="s">
        <v>42</v>
      </c>
      <c r="C16" s="4" t="s">
        <v>53</v>
      </c>
      <c r="D16" s="4" t="s">
        <v>69</v>
      </c>
      <c r="E16" s="3">
        <v>1</v>
      </c>
      <c r="F16" s="3">
        <v>0</v>
      </c>
      <c r="G16" s="3">
        <v>1</v>
      </c>
      <c r="H16" s="3">
        <v>1</v>
      </c>
      <c r="I16" s="3">
        <v>0</v>
      </c>
      <c r="J16" s="3">
        <v>2</v>
      </c>
      <c r="K16" s="3">
        <v>0</v>
      </c>
      <c r="L16" s="4" t="s">
        <v>70</v>
      </c>
      <c r="M16" s="5">
        <f>E16*'Coin Weights'!$C$3+F16*'Coin Weights'!$C$4+G16*'Coin Weights'!$C$5+H16*'Coin Weights'!$C$6+I16*'Coin Weights'!$C$7+J16*'Coin Weights'!$C$8+K16*'Coin Weights'!$C$9+'Coin Weights'!$G$4</f>
        <v>37</v>
      </c>
      <c r="N16" s="6">
        <f>M16/1000*'Coin Weights'!$G$3</f>
        <v>0.36297000000000001</v>
      </c>
    </row>
    <row r="17" spans="1:14">
      <c r="A17" s="3">
        <v>15</v>
      </c>
      <c r="B17" s="4" t="s">
        <v>42</v>
      </c>
      <c r="C17" s="4" t="s">
        <v>53</v>
      </c>
      <c r="D17" s="4" t="s">
        <v>71</v>
      </c>
      <c r="E17" s="3">
        <v>1</v>
      </c>
      <c r="F17" s="3">
        <v>1</v>
      </c>
      <c r="G17" s="3">
        <v>2</v>
      </c>
      <c r="H17" s="3">
        <v>1</v>
      </c>
      <c r="I17" s="3">
        <v>0</v>
      </c>
      <c r="J17" s="3">
        <v>1</v>
      </c>
      <c r="K17" s="3">
        <v>0</v>
      </c>
      <c r="L17" s="4" t="s">
        <v>72</v>
      </c>
      <c r="M17" s="5">
        <f>E17*'Coin Weights'!$C$3+F17*'Coin Weights'!$C$4+G17*'Coin Weights'!$C$5+H17*'Coin Weights'!$C$6+I17*'Coin Weights'!$C$7+J17*'Coin Weights'!$C$8+K17*'Coin Weights'!$C$9+'Coin Weights'!$G$4</f>
        <v>43.269999999999996</v>
      </c>
      <c r="N17" s="6">
        <f>M17/1000*'Coin Weights'!$G$3</f>
        <v>0.42447869999999999</v>
      </c>
    </row>
    <row r="18" spans="1:14">
      <c r="A18" s="3">
        <v>16</v>
      </c>
      <c r="B18" s="4" t="s">
        <v>42</v>
      </c>
      <c r="C18" s="4" t="s">
        <v>55</v>
      </c>
      <c r="D18" s="4" t="s">
        <v>73</v>
      </c>
      <c r="E18" s="3">
        <v>0</v>
      </c>
      <c r="F18" s="3">
        <v>0</v>
      </c>
      <c r="G18" s="3">
        <v>0</v>
      </c>
      <c r="H18" s="3">
        <v>0</v>
      </c>
      <c r="I18" s="3">
        <v>1</v>
      </c>
      <c r="J18" s="3">
        <v>0</v>
      </c>
      <c r="K18" s="3">
        <v>0</v>
      </c>
      <c r="L18" s="4" t="s">
        <v>19</v>
      </c>
      <c r="M18" s="5">
        <f>E18*'Coin Weights'!$C$3+F18*'Coin Weights'!$C$4+G18*'Coin Weights'!$C$5+H18*'Coin Weights'!$C$6+I18*'Coin Weights'!$C$7+J18*'Coin Weights'!$C$8+K18*'Coin Weights'!$C$9+'Coin Weights'!$G$4</f>
        <v>7.46</v>
      </c>
      <c r="N18" s="6">
        <f>M18/1000*'Coin Weights'!$G$3</f>
        <v>7.31826E-2</v>
      </c>
    </row>
    <row r="19" spans="1:14">
      <c r="A19" s="3">
        <v>17</v>
      </c>
      <c r="B19" s="4" t="s">
        <v>42</v>
      </c>
      <c r="C19" s="4" t="s">
        <v>55</v>
      </c>
      <c r="D19" s="4" t="s">
        <v>74</v>
      </c>
      <c r="E19" s="3">
        <v>0</v>
      </c>
      <c r="F19" s="3">
        <v>1</v>
      </c>
      <c r="G19" s="3">
        <v>0</v>
      </c>
      <c r="H19" s="3">
        <v>0</v>
      </c>
      <c r="I19" s="3">
        <v>1</v>
      </c>
      <c r="J19" s="3">
        <v>0</v>
      </c>
      <c r="K19" s="3">
        <v>0</v>
      </c>
      <c r="L19" s="4" t="s">
        <v>75</v>
      </c>
      <c r="M19" s="5">
        <f>E19*'Coin Weights'!$C$3+F19*'Coin Weights'!$C$4+G19*'Coin Weights'!$C$5+H19*'Coin Weights'!$C$6+I19*'Coin Weights'!$C$7+J19*'Coin Weights'!$C$8+K19*'Coin Weights'!$C$9+'Coin Weights'!$G$4</f>
        <v>11.1</v>
      </c>
      <c r="N19" s="6">
        <f>M19/1000*'Coin Weights'!$G$3</f>
        <v>0.10889100000000002</v>
      </c>
    </row>
    <row r="20" spans="1:14">
      <c r="A20" s="3">
        <v>18</v>
      </c>
      <c r="B20" s="4" t="s">
        <v>42</v>
      </c>
      <c r="C20" s="4" t="s">
        <v>58</v>
      </c>
      <c r="D20" s="4" t="s">
        <v>76</v>
      </c>
      <c r="E20" s="3">
        <v>0</v>
      </c>
      <c r="F20" s="3">
        <v>1</v>
      </c>
      <c r="G20" s="3">
        <v>1</v>
      </c>
      <c r="H20" s="3">
        <v>0</v>
      </c>
      <c r="I20" s="3">
        <v>2</v>
      </c>
      <c r="J20" s="3">
        <v>0</v>
      </c>
      <c r="K20" s="3">
        <v>0</v>
      </c>
      <c r="L20" s="4" t="s">
        <v>77</v>
      </c>
      <c r="M20" s="5">
        <f>E20*'Coin Weights'!$C$3+F20*'Coin Weights'!$C$4+G20*'Coin Weights'!$C$5+H20*'Coin Weights'!$C$6+I20*'Coin Weights'!$C$7+J20*'Coin Weights'!$C$8+K20*'Coin Weights'!$C$9+'Coin Weights'!$G$4</f>
        <v>21.979999999999997</v>
      </c>
      <c r="N20" s="6">
        <f>M20/1000*'Coin Weights'!$G$3</f>
        <v>0.21562379999999998</v>
      </c>
    </row>
    <row r="21" spans="1:14" ht="27.6">
      <c r="A21" s="3">
        <v>19</v>
      </c>
      <c r="B21" s="4" t="s">
        <v>42</v>
      </c>
      <c r="C21" s="4" t="s">
        <v>60</v>
      </c>
      <c r="D21" s="4" t="s">
        <v>78</v>
      </c>
      <c r="E21" s="3">
        <v>1</v>
      </c>
      <c r="F21" s="3">
        <v>0</v>
      </c>
      <c r="G21" s="3">
        <v>1</v>
      </c>
      <c r="H21" s="3">
        <v>3</v>
      </c>
      <c r="I21" s="3">
        <v>0</v>
      </c>
      <c r="J21" s="3">
        <v>2</v>
      </c>
      <c r="K21" s="3">
        <v>0</v>
      </c>
      <c r="L21" s="4" t="s">
        <v>79</v>
      </c>
      <c r="M21" s="5">
        <f>E21*'Coin Weights'!$C$3+F21*'Coin Weights'!$C$4+G21*'Coin Weights'!$C$5+H21*'Coin Weights'!$C$6+I21*'Coin Weights'!$C$7+J21*'Coin Weights'!$C$8+K21*'Coin Weights'!$C$9+'Coin Weights'!$G$4</f>
        <v>50.92</v>
      </c>
      <c r="N21" s="6">
        <f>M21/1000*'Coin Weights'!$G$3</f>
        <v>0.4995252</v>
      </c>
    </row>
    <row r="22" spans="1:14">
      <c r="A22" s="3">
        <v>20</v>
      </c>
      <c r="B22" s="4" t="s">
        <v>50</v>
      </c>
      <c r="C22" s="8" t="s">
        <v>43</v>
      </c>
      <c r="D22" s="4" t="s">
        <v>48</v>
      </c>
      <c r="E22" s="3">
        <v>0</v>
      </c>
      <c r="F22" s="3">
        <v>1</v>
      </c>
      <c r="G22" s="3">
        <v>1</v>
      </c>
      <c r="H22" s="3">
        <v>0</v>
      </c>
      <c r="I22" s="3">
        <v>1</v>
      </c>
      <c r="J22" s="3">
        <v>1</v>
      </c>
      <c r="K22" s="3">
        <v>0</v>
      </c>
      <c r="L22" s="4" t="s">
        <v>80</v>
      </c>
      <c r="M22" s="5">
        <f>E22*'Coin Weights'!$C$3+F22*'Coin Weights'!$C$4+G22*'Coin Weights'!$C$5+H22*'Coin Weights'!$C$6+I22*'Coin Weights'!$C$7+J22*'Coin Weights'!$C$8+K22*'Coin Weights'!$C$9+'Coin Weights'!$G$4</f>
        <v>22.83</v>
      </c>
      <c r="N22" s="6">
        <f>M22/1000*'Coin Weights'!$G$3</f>
        <v>0.2239623</v>
      </c>
    </row>
    <row r="23" spans="1:14">
      <c r="A23" s="3">
        <v>21</v>
      </c>
      <c r="B23" s="4" t="s">
        <v>50</v>
      </c>
      <c r="C23" s="4" t="s">
        <v>43</v>
      </c>
      <c r="D23" s="4" t="s">
        <v>65</v>
      </c>
      <c r="E23" s="3">
        <v>1</v>
      </c>
      <c r="F23" s="3">
        <v>0</v>
      </c>
      <c r="G23" s="3">
        <v>0</v>
      </c>
      <c r="H23" s="3">
        <v>0</v>
      </c>
      <c r="I23" s="3">
        <v>1</v>
      </c>
      <c r="J23" s="3">
        <v>1</v>
      </c>
      <c r="K23" s="3">
        <v>0</v>
      </c>
      <c r="L23" s="4" t="s">
        <v>81</v>
      </c>
      <c r="M23" s="5">
        <f>E23*'Coin Weights'!$C$3+F23*'Coin Weights'!$C$4+G23*'Coin Weights'!$C$5+H23*'Coin Weights'!$C$6+I23*'Coin Weights'!$C$7+J23*'Coin Weights'!$C$8+K23*'Coin Weights'!$C$9+'Coin Weights'!$G$4</f>
        <v>22.009999999999998</v>
      </c>
      <c r="N23" s="6">
        <f>M23/1000*'Coin Weights'!$G$3</f>
        <v>0.2159181</v>
      </c>
    </row>
    <row r="24" spans="1:14">
      <c r="A24" s="3">
        <v>22</v>
      </c>
      <c r="B24" s="4" t="s">
        <v>50</v>
      </c>
      <c r="C24" s="4" t="s">
        <v>53</v>
      </c>
      <c r="D24" s="4" t="s">
        <v>69</v>
      </c>
      <c r="E24" s="3">
        <v>1</v>
      </c>
      <c r="F24" s="3">
        <v>0</v>
      </c>
      <c r="G24" s="3">
        <v>1</v>
      </c>
      <c r="H24" s="3">
        <v>0</v>
      </c>
      <c r="I24" s="3">
        <v>1</v>
      </c>
      <c r="J24" s="3">
        <v>2</v>
      </c>
      <c r="K24" s="3">
        <v>0</v>
      </c>
      <c r="L24" s="4" t="s">
        <v>82</v>
      </c>
      <c r="M24" s="5">
        <f>E24*'Coin Weights'!$C$3+F24*'Coin Weights'!$C$4+G24*'Coin Weights'!$C$5+H24*'Coin Weights'!$C$6+I24*'Coin Weights'!$C$7+J24*'Coin Weights'!$C$8+K24*'Coin Weights'!$C$9+'Coin Weights'!$G$4</f>
        <v>33.739999999999995</v>
      </c>
      <c r="N24" s="6">
        <f>M24/1000*'Coin Weights'!$G$3</f>
        <v>0.33098939999999993</v>
      </c>
    </row>
    <row r="25" spans="1:14">
      <c r="A25" s="3">
        <v>23</v>
      </c>
      <c r="B25" s="4" t="s">
        <v>50</v>
      </c>
      <c r="C25" s="4" t="s">
        <v>55</v>
      </c>
      <c r="D25" s="4" t="s">
        <v>73</v>
      </c>
      <c r="E25" s="3">
        <v>0</v>
      </c>
      <c r="F25" s="3">
        <v>0</v>
      </c>
      <c r="G25" s="3">
        <v>0</v>
      </c>
      <c r="H25" s="3">
        <v>0</v>
      </c>
      <c r="I25" s="3">
        <v>1</v>
      </c>
      <c r="J25" s="3">
        <v>0</v>
      </c>
      <c r="K25" s="3">
        <v>0</v>
      </c>
      <c r="L25" s="4" t="s">
        <v>19</v>
      </c>
      <c r="M25" s="5">
        <f>E25*'Coin Weights'!$C$3+F25*'Coin Weights'!$C$4+G25*'Coin Weights'!$C$5+H25*'Coin Weights'!$C$6+I25*'Coin Weights'!$C$7+J25*'Coin Weights'!$C$8+K25*'Coin Weights'!$C$9+'Coin Weights'!$G$4</f>
        <v>7.46</v>
      </c>
      <c r="N25" s="6">
        <f>M25/1000*'Coin Weights'!$G$3</f>
        <v>7.31826E-2</v>
      </c>
    </row>
    <row r="26" spans="1:14">
      <c r="A26" s="3">
        <v>24</v>
      </c>
      <c r="B26" s="4" t="s">
        <v>50</v>
      </c>
      <c r="C26" s="4" t="s">
        <v>58</v>
      </c>
      <c r="D26" s="4" t="s">
        <v>76</v>
      </c>
      <c r="E26" s="3">
        <v>0</v>
      </c>
      <c r="F26" s="3">
        <v>0</v>
      </c>
      <c r="G26" s="3">
        <v>1</v>
      </c>
      <c r="H26" s="3">
        <v>0</v>
      </c>
      <c r="I26" s="3">
        <v>2</v>
      </c>
      <c r="J26" s="3">
        <v>0</v>
      </c>
      <c r="K26" s="3">
        <v>0</v>
      </c>
      <c r="L26" s="4" t="s">
        <v>83</v>
      </c>
      <c r="M26" s="5">
        <f>E26*'Coin Weights'!$C$3+F26*'Coin Weights'!$C$4+G26*'Coin Weights'!$C$5+H26*'Coin Weights'!$C$6+I26*'Coin Weights'!$C$7+J26*'Coin Weights'!$C$8+K26*'Coin Weights'!$C$9+'Coin Weights'!$G$4</f>
        <v>18.34</v>
      </c>
      <c r="N26" s="6">
        <f>M26/1000*'Coin Weights'!$G$3</f>
        <v>0.1799154</v>
      </c>
    </row>
    <row r="27" spans="1:14" ht="27.6">
      <c r="A27" s="3">
        <v>25</v>
      </c>
      <c r="B27" s="4" t="s">
        <v>50</v>
      </c>
      <c r="C27" s="4" t="s">
        <v>60</v>
      </c>
      <c r="D27" s="4" t="s">
        <v>78</v>
      </c>
      <c r="E27" s="3">
        <v>1</v>
      </c>
      <c r="F27" s="3">
        <v>0</v>
      </c>
      <c r="G27" s="3">
        <v>2</v>
      </c>
      <c r="H27" s="3">
        <v>4</v>
      </c>
      <c r="I27" s="3">
        <v>0</v>
      </c>
      <c r="J27" s="3">
        <v>2</v>
      </c>
      <c r="K27" s="3">
        <v>1</v>
      </c>
      <c r="L27" s="4" t="s">
        <v>84</v>
      </c>
      <c r="M27" s="5">
        <f>E27*'Coin Weights'!$C$3+F27*'Coin Weights'!$C$4+G27*'Coin Weights'!$C$5+H27*'Coin Weights'!$C$6+I27*'Coin Weights'!$C$7+J27*'Coin Weights'!$C$8+K27*'Coin Weights'!$C$9+'Coin Weights'!$G$4</f>
        <v>70.310000000000016</v>
      </c>
      <c r="N27" s="6">
        <f>M27/1000*'Coin Weights'!$G$3</f>
        <v>0.68974110000000011</v>
      </c>
    </row>
    <row r="28" spans="1:14">
      <c r="A28" s="3">
        <v>26</v>
      </c>
      <c r="B28" s="4" t="s">
        <v>50</v>
      </c>
      <c r="C28" s="4" t="s">
        <v>43</v>
      </c>
      <c r="D28" s="4" t="s">
        <v>67</v>
      </c>
      <c r="E28" s="3">
        <v>0</v>
      </c>
      <c r="F28" s="3">
        <v>1</v>
      </c>
      <c r="G28" s="3">
        <v>0</v>
      </c>
      <c r="H28" s="3">
        <v>0</v>
      </c>
      <c r="I28" s="3">
        <v>1</v>
      </c>
      <c r="J28" s="3">
        <v>1</v>
      </c>
      <c r="K28" s="3">
        <v>0</v>
      </c>
      <c r="L28" s="4" t="s">
        <v>85</v>
      </c>
      <c r="M28" s="5">
        <f>E28*'Coin Weights'!$C$3+F28*'Coin Weights'!$C$4+G28*'Coin Weights'!$C$5+H28*'Coin Weights'!$C$6+I28*'Coin Weights'!$C$7+J28*'Coin Weights'!$C$8+K28*'Coin Weights'!$C$9+'Coin Weights'!$G$4</f>
        <v>15.65</v>
      </c>
      <c r="N28" s="6">
        <f>M28/1000*'Coin Weights'!$G$3</f>
        <v>0.15352650000000001</v>
      </c>
    </row>
    <row r="29" spans="1:14">
      <c r="A29" s="3">
        <v>27</v>
      </c>
      <c r="B29" s="4" t="s">
        <v>50</v>
      </c>
      <c r="C29" s="4" t="s">
        <v>43</v>
      </c>
      <c r="D29" s="4" t="s">
        <v>86</v>
      </c>
      <c r="E29" s="3">
        <v>0</v>
      </c>
      <c r="F29" s="3">
        <v>0</v>
      </c>
      <c r="G29" s="3">
        <v>1</v>
      </c>
      <c r="H29" s="3">
        <v>0</v>
      </c>
      <c r="I29" s="3">
        <v>1</v>
      </c>
      <c r="J29" s="3">
        <v>1</v>
      </c>
      <c r="K29" s="3">
        <v>0</v>
      </c>
      <c r="L29" s="4" t="s">
        <v>87</v>
      </c>
      <c r="M29" s="5">
        <f>E29*'Coin Weights'!$C$3+F29*'Coin Weights'!$C$4+G29*'Coin Weights'!$C$5+H29*'Coin Weights'!$C$6+I29*'Coin Weights'!$C$7+J29*'Coin Weights'!$C$8+K29*'Coin Weights'!$C$9+'Coin Weights'!$G$4</f>
        <v>19.189999999999998</v>
      </c>
      <c r="N29" s="6">
        <f>M29/1000*'Coin Weights'!$G$3</f>
        <v>0.1882539</v>
      </c>
    </row>
    <row r="30" spans="1:14">
      <c r="A30" s="3">
        <v>28</v>
      </c>
      <c r="B30" s="4" t="s">
        <v>42</v>
      </c>
      <c r="C30" s="4" t="s">
        <v>43</v>
      </c>
      <c r="D30" s="4" t="s">
        <v>86</v>
      </c>
      <c r="E30" s="3">
        <v>1</v>
      </c>
      <c r="F30" s="3">
        <v>1</v>
      </c>
      <c r="G30" s="3">
        <v>0</v>
      </c>
      <c r="H30" s="3">
        <v>0</v>
      </c>
      <c r="I30" s="3">
        <v>1</v>
      </c>
      <c r="J30" s="3">
        <v>0</v>
      </c>
      <c r="K30" s="3">
        <v>0</v>
      </c>
      <c r="L30" s="4" t="s">
        <v>88</v>
      </c>
      <c r="M30" s="5">
        <f>E30*'Coin Weights'!$C$3+F30*'Coin Weights'!$C$4+G30*'Coin Weights'!$C$5+H30*'Coin Weights'!$C$6+I30*'Coin Weights'!$C$7+J30*'Coin Weights'!$C$8+K30*'Coin Weights'!$C$9+'Coin Weights'!$G$4</f>
        <v>21.1</v>
      </c>
      <c r="N30" s="6">
        <f>M30/1000*'Coin Weights'!$G$3</f>
        <v>0.20699100000000001</v>
      </c>
    </row>
    <row r="31" spans="1:14">
      <c r="A31" s="3">
        <v>29</v>
      </c>
      <c r="B31" s="4" t="s">
        <v>42</v>
      </c>
      <c r="C31" s="4" t="s">
        <v>43</v>
      </c>
      <c r="D31" s="4" t="s">
        <v>89</v>
      </c>
      <c r="E31" s="3">
        <v>1</v>
      </c>
      <c r="F31" s="3">
        <v>0</v>
      </c>
      <c r="G31" s="3">
        <v>0</v>
      </c>
      <c r="H31" s="3">
        <v>0</v>
      </c>
      <c r="I31" s="3">
        <v>1</v>
      </c>
      <c r="J31" s="3">
        <v>1</v>
      </c>
      <c r="K31" s="3">
        <v>0</v>
      </c>
      <c r="L31" s="4" t="s">
        <v>81</v>
      </c>
      <c r="M31" s="5">
        <f>E31*'Coin Weights'!$C$3+F31*'Coin Weights'!$C$4+G31*'Coin Weights'!$C$5+H31*'Coin Weights'!$C$6+I31*'Coin Weights'!$C$7+J31*'Coin Weights'!$C$8+K31*'Coin Weights'!$C$9+'Coin Weights'!$G$4</f>
        <v>22.009999999999998</v>
      </c>
      <c r="N31" s="6">
        <f>M31/1000*'Coin Weights'!$G$3</f>
        <v>0.2159181</v>
      </c>
    </row>
    <row r="32" spans="1:14">
      <c r="A32" s="3">
        <v>30</v>
      </c>
      <c r="B32" s="4" t="s">
        <v>42</v>
      </c>
      <c r="C32" s="4" t="s">
        <v>43</v>
      </c>
      <c r="D32" s="4" t="s">
        <v>90</v>
      </c>
      <c r="E32" s="3">
        <v>1</v>
      </c>
      <c r="F32" s="3">
        <v>1</v>
      </c>
      <c r="G32" s="3">
        <v>1</v>
      </c>
      <c r="H32" s="3">
        <v>0</v>
      </c>
      <c r="I32" s="3">
        <v>1</v>
      </c>
      <c r="J32" s="3">
        <v>0</v>
      </c>
      <c r="K32" s="3">
        <v>0</v>
      </c>
      <c r="L32" s="4" t="s">
        <v>91</v>
      </c>
      <c r="M32" s="5">
        <f>E32*'Coin Weights'!$C$3+F32*'Coin Weights'!$C$4+G32*'Coin Weights'!$C$5+H32*'Coin Weights'!$C$6+I32*'Coin Weights'!$C$7+J32*'Coin Weights'!$C$8+K32*'Coin Weights'!$C$9+'Coin Weights'!$G$4</f>
        <v>28.28</v>
      </c>
      <c r="N32" s="6">
        <f>M32/1000*'Coin Weights'!$G$3</f>
        <v>0.27742680000000003</v>
      </c>
    </row>
  </sheetData>
  <mergeCells count="1">
    <mergeCell ref="A1:N1"/>
  </mergeCells>
  <conditionalFormatting sqref="A3:N13">
    <cfRule type="expression" dxfId="5" priority="2">
      <formula>$C3="Pluckable"</formula>
    </cfRule>
  </conditionalFormatting>
  <conditionalFormatting sqref="A3:N27">
    <cfRule type="expression" dxfId="4" priority="8">
      <formula>#REF!="Random added"</formula>
    </cfRule>
    <cfRule type="expression" dxfId="3" priority="9">
      <formula>#REF!="Collected"</formula>
    </cfRule>
  </conditionalFormatting>
  <conditionalFormatting sqref="A3:N32">
    <cfRule type="expression" dxfId="2" priority="6">
      <formula>$C3="Pluckable"</formula>
    </cfRule>
  </conditionalFormatting>
  <conditionalFormatting sqref="C3:C13">
    <cfRule type="expression" dxfId="1" priority="1">
      <formula>$C3="Pluckable"</formula>
    </cfRule>
  </conditionalFormatting>
  <conditionalFormatting sqref="C3:C27">
    <cfRule type="expression" dxfId="0" priority="3">
      <formula>$C3="Pluckable"</formula>
    </cfRule>
  </conditionalFormatting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Coin Weights</vt:lpstr>
      <vt:lpstr>Measurements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keshani kaushalya</dc:creator>
  <cp:lastModifiedBy>keshani kaushalya</cp:lastModifiedBy>
  <dcterms:created xsi:type="dcterms:W3CDTF">2026-06-07T10:10:07Z</dcterms:created>
  <dcterms:modified xsi:type="dcterms:W3CDTF">2026-06-07T10:10:07Z</dcterms:modified>
</cp:coreProperties>
</file>